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eepa\Desktop\entri\EXCEL\Assign 1 excel\"/>
    </mc:Choice>
  </mc:AlternateContent>
  <xr:revisionPtr revIDLastSave="0" documentId="13_ncr:1_{3E1D93D9-2389-40E5-8299-E419AD79385E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G2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N2" i="1"/>
  <c r="M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K2" i="1"/>
  <c r="J2" i="1"/>
  <c r="I2" i="1"/>
</calcChain>
</file>

<file path=xl/sharedStrings.xml><?xml version="1.0" encoding="utf-8"?>
<sst xmlns="http://schemas.openxmlformats.org/spreadsheetml/2006/main" count="153" uniqueCount="104">
  <si>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</si>
  <si>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</si>
  <si>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</si>
  <si>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</si>
  <si>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</si>
  <si>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</si>
  <si>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</si>
  <si>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</si>
  <si>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</si>
  <si>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</si>
  <si>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</si>
  <si>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</si>
  <si>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</si>
  <si>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</si>
  <si>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</si>
  <si>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</si>
  <si>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</si>
  <si>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</si>
  <si>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</si>
  <si>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</si>
  <si>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</si>
  <si>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</si>
  <si>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</si>
  <si>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</si>
  <si>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</si>
  <si>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</si>
  <si>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</si>
  <si>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</si>
  <si>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</si>
  <si>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</si>
  <si>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</si>
  <si>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</si>
  <si>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</si>
  <si>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</si>
  <si>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</si>
  <si>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</si>
  <si>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</si>
  <si>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</si>
  <si>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</si>
  <si>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</si>
  <si>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</si>
  <si>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</si>
  <si>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</si>
  <si>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</si>
  <si>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</si>
  <si>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</si>
  <si>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</si>
  <si>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</si>
  <si>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</si>
  <si>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</si>
  <si>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</si>
  <si>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</si>
  <si>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</si>
  <si>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</si>
  <si>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</si>
  <si>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</si>
  <si>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</si>
  <si>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</si>
  <si>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</si>
  <si>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</si>
  <si>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</si>
  <si>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</si>
  <si>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</si>
  <si>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</si>
  <si>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</si>
  <si>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</si>
  <si>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</si>
  <si>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</si>
  <si>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</si>
  <si>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</si>
  <si>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</si>
  <si>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</si>
  <si>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</si>
  <si>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</si>
  <si>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</si>
  <si>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</si>
  <si>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</si>
  <si>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</si>
  <si>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</si>
  <si>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</si>
  <si>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</si>
  <si>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</si>
  <si>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</si>
  <si>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</si>
  <si>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</si>
  <si>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</si>
  <si>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</si>
  <si>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</si>
  <si>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</si>
  <si>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</si>
  <si>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</si>
  <si>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</si>
  <si>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</si>
  <si>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all products</t>
  </si>
  <si>
    <t>How many products</t>
  </si>
  <si>
    <t>Average price</t>
  </si>
  <si>
    <t>Min price</t>
  </si>
  <si>
    <t>Max price</t>
  </si>
  <si>
    <t>Price range</t>
  </si>
  <si>
    <t>Total price for products in the 'Electronics'</t>
  </si>
  <si>
    <t>Day</t>
  </si>
  <si>
    <t>Country code</t>
  </si>
  <si>
    <t>Count of products with a price less than $100</t>
  </si>
  <si>
    <t xml:space="preserve">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</si>
</sst>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21"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EF0B09-7349-45DA-ACDE-80315B67B142}" name="Table1" displayName="Table1" ref="A1:Q36" totalsRowShown="0" headerRowDxfId="20" headerRowBorderDxfId="19" tableBorderDxfId="18" totalsRowBorderDxfId="17">
  <autoFilter ref="A1:Q36" xr:uid="{85EF0B09-7349-45DA-ACDE-80315B67B142}"/>
  <tableColumns count="17">
    <tableColumn id="1" xr3:uid="{1BAD150E-C533-46F4-860E-53BBB4F985CE}" name="Product ID" dataDxfId="16"/>
    <tableColumn id="2" xr3:uid="{DDB4B6B4-E50A-418A-86F5-EE6802B0DAB4}" name="Product Name" dataDxfId="15"/>
    <tableColumn id="3" xr3:uid="{CC695452-4EAD-4016-9964-D50A556411AF}" name="Brand Name" dataDxfId="14"/>
    <tableColumn id="4" xr3:uid="{D669C2F6-47A3-4E94-BE81-55DBCE0DD366}" name="Price ($)" dataDxfId="13"/>
    <tableColumn id="5" xr3:uid="{44E1A383-83E8-4AF4-9827-1250F03BF57C}" name="Quantity" dataDxfId="12"/>
    <tableColumn id="6" xr3:uid="{099948FE-BCA9-4C29-B74E-D8624AD853B7}" name="Category" dataDxfId="11"/>
    <tableColumn id="7" xr3:uid="{7F8ACC91-0607-4ECC-8940-3F542C794678}" name="Total price of all products" dataDxfId="10">
      <calculatedColumnFormula>SUM(D2:D35)</calculatedColumnFormula>
    </tableColumn>
    <tableColumn id="8" xr3:uid="{8F96F689-C47B-41FD-8FCC-1AA591D1285B}" name="How many products" dataDxfId="9">
      <calculatedColumnFormula>COUNT(E1:E35)</calculatedColumnFormula>
    </tableColumn>
    <tableColumn id="9" xr3:uid="{D895B482-8BA6-49A4-9FA0-6D05FA0F20A2}" name="Average price" dataDxfId="8"/>
    <tableColumn id="10" xr3:uid="{F9328755-9F01-44CE-B2B1-E619A413200C}" name="Min price" dataDxfId="7"/>
    <tableColumn id="11" xr3:uid="{8A3D078B-12CD-46A8-9E0D-5ED5679E07C2}" name="Max price" dataDxfId="6"/>
    <tableColumn id="12" xr3:uid="{90934684-9C58-4D73-8D82-622DDA3D47D8}" name="Price range" dataDxfId="5">
      <calculatedColumnFormula>IF(D2&gt;=500,"High price","Standard price")</calculatedColumnFormula>
    </tableColumn>
    <tableColumn id="13" xr3:uid="{0E092AD0-BFDE-45B5-91D8-48023645A1DF}" name="Total price for products in the 'Electronics'" dataDxfId="4">
      <calculatedColumnFormula>SUMIF(F2:F35,"Electronics",D2:D35)</calculatedColumnFormula>
    </tableColumn>
    <tableColumn id="14" xr3:uid="{23BF10A8-F48E-4EE5-A180-215908451CB7}" name="Count of products with a price less than $100" dataDxfId="3">
      <calculatedColumnFormula>COUNTIF(D2:D35,"&lt;100")</calculatedColumnFormula>
    </tableColumn>
    <tableColumn id="15" xr3:uid="{F6D5A4FE-9F38-412D-893A-D43EE37DFCC4}" name="Day" dataDxfId="2">
      <calculatedColumnFormula>LEFT(A2,2)</calculatedColumnFormula>
    </tableColumn>
    <tableColumn id="16" xr3:uid="{BA5EC4CA-E161-48F2-97E0-66DF5A38F0E5}" name="Country code" dataDxfId="1">
      <calculatedColumnFormula>RIGHT(A2,2)</calculatedColumnFormula>
    </tableColumn>
    <tableColumn id="17" xr3:uid="{2893FDBD-80B5-4C83-9EF5-69482ED7A0E7}" name="Month " dataDxfId="0">
      <calculatedColumnFormula>MID(A2,4,3)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"/>
  <sheetViews>
    <sheetView tabSelected="1" workbookViewId="0"/>
  </sheetViews>
  <sheetFormatPr defaultRowHeight="15" x14ac:dyDescent="0.25"/>
  <cols>
    <col min="1" max="1" width="12.28515625" customWidth="1"/>
    <col min="2" max="2" width="13.7109375" customWidth="1"/>
    <col min="3" max="3" width="12" customWidth="1"/>
    <col min="4" max="4" width="8" customWidth="1"/>
    <col min="5" max="5" width="8.42578125" customWidth="1"/>
    <col min="6" max="6" width="10.85546875" customWidth="1"/>
    <col min="7" max="7" width="13.7109375" customWidth="1"/>
    <col min="8" max="8" width="12.5703125" customWidth="1"/>
    <col min="9" max="9" width="12" customWidth="1"/>
    <col min="10" max="10" width="8" customWidth="1"/>
    <col min="11" max="11" width="9.140625" customWidth="1"/>
    <col min="12" max="12" width="16.140625" customWidth="1"/>
    <col min="13" max="13" width="9.5703125" customWidth="1"/>
    <col min="14" max="14" width="9.42578125" customWidth="1"/>
  </cols>
  <sheetData>
    <row r="1" spans="1:17" s="1" customFormat="1" ht="90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93</v>
      </c>
      <c r="H1" s="4" t="s">
        <v>94</v>
      </c>
      <c r="I1" s="4" t="s">
        <v>95</v>
      </c>
      <c r="J1" s="4" t="s">
        <v>96</v>
      </c>
      <c r="K1" s="4" t="s">
        <v>97</v>
      </c>
      <c r="L1" s="4" t="s">
        <v>98</v>
      </c>
      <c r="M1" s="4" t="s">
        <v>99</v>
      </c>
      <c r="N1" s="4" t="s">
        <v>102</v>
      </c>
      <c r="O1" s="4" t="s">
        <v>100</v>
      </c>
      <c r="P1" s="4" t="s">
        <v>101</v>
      </c>
      <c r="Q1" s="5" t="s">
        <v>103</v>
      </c>
    </row>
    <row r="2" spans="1:17" x14ac:dyDescent="0.25">
      <c r="A2" s="6" t="s">
        <v>6</v>
      </c>
      <c r="B2" s="7" t="s">
        <v>7</v>
      </c>
      <c r="C2" s="7" t="s">
        <v>8</v>
      </c>
      <c r="D2" s="7">
        <v>1000</v>
      </c>
      <c r="E2" s="7">
        <v>30</v>
      </c>
      <c r="F2" s="7" t="s">
        <v>9</v>
      </c>
      <c r="G2" s="7">
        <f t="shared" ref="G2" si="0">SUM(D2:D35)</f>
        <v>10100</v>
      </c>
      <c r="H2" s="7">
        <f t="shared" ref="H2" si="1">COUNT(E1:E35)</f>
        <v>34</v>
      </c>
      <c r="I2" s="7">
        <f>AVERAGE(D2:D35)</f>
        <v>297.05882352941177</v>
      </c>
      <c r="J2" s="7">
        <f>MIN(D2:D35)</f>
        <v>30</v>
      </c>
      <c r="K2" s="7">
        <f>MAX(D2:D35)</f>
        <v>1000</v>
      </c>
      <c r="L2" s="7" t="str">
        <f t="shared" ref="L2:L35" si="2">IF(D2&gt;=500,"High price","Standard price")</f>
        <v>High price</v>
      </c>
      <c r="M2" s="7">
        <f t="shared" ref="M2" si="3">SUMIF(F2:F35,"Electronics",D2:D35)</f>
        <v>8050</v>
      </c>
      <c r="N2" s="7">
        <f t="shared" ref="N2" si="4">COUNTIF(D2:D35,"&lt;100")</f>
        <v>11</v>
      </c>
      <c r="O2" s="7" t="str">
        <f t="shared" ref="O2:O36" si="5">LEFT(A2,2)</f>
        <v>28</v>
      </c>
      <c r="P2" s="7" t="str">
        <f t="shared" ref="P2:P36" si="6">RIGHT(A2,2)</f>
        <v>US</v>
      </c>
      <c r="Q2" s="8" t="str">
        <f t="shared" ref="Q2:Q36" si="7">MID(A2,4,3)</f>
        <v>JAN</v>
      </c>
    </row>
    <row r="3" spans="1:17" x14ac:dyDescent="0.25">
      <c r="A3" s="6" t="s">
        <v>10</v>
      </c>
      <c r="B3" s="7" t="s">
        <v>11</v>
      </c>
      <c r="C3" s="7" t="s">
        <v>12</v>
      </c>
      <c r="D3" s="7">
        <v>80</v>
      </c>
      <c r="E3" s="7">
        <v>15</v>
      </c>
      <c r="F3" s="7" t="s">
        <v>13</v>
      </c>
      <c r="G3" s="7"/>
      <c r="H3" s="7"/>
      <c r="I3" s="7"/>
      <c r="J3" s="7"/>
      <c r="K3" s="7"/>
      <c r="L3" s="7" t="str">
        <f t="shared" si="2"/>
        <v>Standard price</v>
      </c>
      <c r="M3" s="7"/>
      <c r="N3" s="7"/>
      <c r="O3" s="7" t="str">
        <f t="shared" si="5"/>
        <v>15</v>
      </c>
      <c r="P3" s="7" t="str">
        <f t="shared" si="6"/>
        <v>US</v>
      </c>
      <c r="Q3" s="8" t="str">
        <f t="shared" si="7"/>
        <v>FEB</v>
      </c>
    </row>
    <row r="4" spans="1:17" x14ac:dyDescent="0.25">
      <c r="A4" s="6" t="s">
        <v>14</v>
      </c>
      <c r="B4" s="7" t="s">
        <v>15</v>
      </c>
      <c r="C4" s="7" t="s">
        <v>16</v>
      </c>
      <c r="D4" s="7">
        <v>130</v>
      </c>
      <c r="E4" s="7">
        <v>40</v>
      </c>
      <c r="F4" s="7" t="s">
        <v>17</v>
      </c>
      <c r="G4" s="7"/>
      <c r="H4" s="7"/>
      <c r="I4" s="7"/>
      <c r="J4" s="7"/>
      <c r="K4" s="7"/>
      <c r="L4" s="7" t="str">
        <f t="shared" si="2"/>
        <v>Standard price</v>
      </c>
      <c r="M4" s="7"/>
      <c r="N4" s="7"/>
      <c r="O4" s="7" t="str">
        <f t="shared" si="5"/>
        <v>03</v>
      </c>
      <c r="P4" s="7" t="str">
        <f t="shared" si="6"/>
        <v>US</v>
      </c>
      <c r="Q4" s="8" t="str">
        <f t="shared" si="7"/>
        <v>MAR</v>
      </c>
    </row>
    <row r="5" spans="1:17" x14ac:dyDescent="0.25">
      <c r="A5" s="6" t="s">
        <v>18</v>
      </c>
      <c r="B5" s="7" t="s">
        <v>19</v>
      </c>
      <c r="C5" s="7" t="s">
        <v>20</v>
      </c>
      <c r="D5" s="7">
        <v>900</v>
      </c>
      <c r="E5" s="7">
        <v>25</v>
      </c>
      <c r="F5" s="7" t="s">
        <v>9</v>
      </c>
      <c r="G5" s="7"/>
      <c r="H5" s="7"/>
      <c r="I5" s="7"/>
      <c r="J5" s="7"/>
      <c r="K5" s="7"/>
      <c r="L5" s="7" t="str">
        <f t="shared" si="2"/>
        <v>High price</v>
      </c>
      <c r="M5" s="7"/>
      <c r="N5" s="7"/>
      <c r="O5" s="7" t="str">
        <f t="shared" si="5"/>
        <v>11</v>
      </c>
      <c r="P5" s="7" t="str">
        <f t="shared" si="6"/>
        <v>US</v>
      </c>
      <c r="Q5" s="8" t="str">
        <f t="shared" si="7"/>
        <v>APR</v>
      </c>
    </row>
    <row r="6" spans="1:17" x14ac:dyDescent="0.25">
      <c r="A6" s="6" t="s">
        <v>21</v>
      </c>
      <c r="B6" s="7" t="s">
        <v>22</v>
      </c>
      <c r="C6" s="7" t="s">
        <v>23</v>
      </c>
      <c r="D6" s="7">
        <v>70</v>
      </c>
      <c r="E6" s="7">
        <v>20</v>
      </c>
      <c r="F6" s="7" t="s">
        <v>24</v>
      </c>
      <c r="G6" s="7"/>
      <c r="H6" s="7"/>
      <c r="I6" s="7"/>
      <c r="J6" s="7"/>
      <c r="K6" s="7"/>
      <c r="L6" s="7" t="str">
        <f t="shared" si="2"/>
        <v>Standard price</v>
      </c>
      <c r="M6" s="7"/>
      <c r="N6" s="7"/>
      <c r="O6" s="7" t="str">
        <f t="shared" si="5"/>
        <v>22</v>
      </c>
      <c r="P6" s="7" t="str">
        <f t="shared" si="6"/>
        <v>US</v>
      </c>
      <c r="Q6" s="8" t="str">
        <f t="shared" si="7"/>
        <v>MAY</v>
      </c>
    </row>
    <row r="7" spans="1:17" x14ac:dyDescent="0.25">
      <c r="A7" s="6" t="s">
        <v>25</v>
      </c>
      <c r="B7" s="7" t="s">
        <v>26</v>
      </c>
      <c r="C7" s="7" t="s">
        <v>27</v>
      </c>
      <c r="D7" s="7">
        <v>200</v>
      </c>
      <c r="E7" s="7">
        <v>45</v>
      </c>
      <c r="F7" s="7" t="s">
        <v>9</v>
      </c>
      <c r="G7" s="7"/>
      <c r="H7" s="7"/>
      <c r="I7" s="7"/>
      <c r="J7" s="7"/>
      <c r="K7" s="7"/>
      <c r="L7" s="7" t="str">
        <f t="shared" si="2"/>
        <v>Standard price</v>
      </c>
      <c r="M7" s="7"/>
      <c r="N7" s="7"/>
      <c r="O7" s="7" t="str">
        <f t="shared" si="5"/>
        <v>07</v>
      </c>
      <c r="P7" s="7" t="str">
        <f t="shared" si="6"/>
        <v>UK</v>
      </c>
      <c r="Q7" s="8" t="str">
        <f t="shared" si="7"/>
        <v>JUN</v>
      </c>
    </row>
    <row r="8" spans="1:17" x14ac:dyDescent="0.25">
      <c r="A8" s="6" t="s">
        <v>28</v>
      </c>
      <c r="B8" s="7" t="s">
        <v>29</v>
      </c>
      <c r="C8" s="7" t="s">
        <v>30</v>
      </c>
      <c r="D8" s="7">
        <v>30</v>
      </c>
      <c r="E8" s="7">
        <v>5</v>
      </c>
      <c r="F8" s="7" t="s">
        <v>13</v>
      </c>
      <c r="G8" s="7"/>
      <c r="H8" s="7"/>
      <c r="I8" s="7"/>
      <c r="J8" s="7"/>
      <c r="K8" s="7"/>
      <c r="L8" s="7" t="str">
        <f t="shared" si="2"/>
        <v>Standard price</v>
      </c>
      <c r="M8" s="7"/>
      <c r="N8" s="7"/>
      <c r="O8" s="7" t="str">
        <f t="shared" si="5"/>
        <v>19</v>
      </c>
      <c r="P8" s="7" t="str">
        <f t="shared" si="6"/>
        <v>UK</v>
      </c>
      <c r="Q8" s="8" t="str">
        <f t="shared" si="7"/>
        <v>JUL</v>
      </c>
    </row>
    <row r="9" spans="1:17" x14ac:dyDescent="0.25">
      <c r="A9" s="6" t="s">
        <v>31</v>
      </c>
      <c r="B9" s="7" t="s">
        <v>32</v>
      </c>
      <c r="C9" s="7" t="s">
        <v>33</v>
      </c>
      <c r="D9" s="7">
        <v>90</v>
      </c>
      <c r="E9" s="7">
        <v>35</v>
      </c>
      <c r="F9" s="7" t="s">
        <v>17</v>
      </c>
      <c r="G9" s="7"/>
      <c r="H9" s="7"/>
      <c r="I9" s="7"/>
      <c r="J9" s="7"/>
      <c r="K9" s="7"/>
      <c r="L9" s="7" t="str">
        <f t="shared" si="2"/>
        <v>Standard price</v>
      </c>
      <c r="M9" s="7"/>
      <c r="N9" s="7"/>
      <c r="O9" s="7" t="str">
        <f t="shared" si="5"/>
        <v>23</v>
      </c>
      <c r="P9" s="7" t="str">
        <f t="shared" si="6"/>
        <v>UK</v>
      </c>
      <c r="Q9" s="8" t="str">
        <f t="shared" si="7"/>
        <v>AUG</v>
      </c>
    </row>
    <row r="10" spans="1:17" x14ac:dyDescent="0.25">
      <c r="A10" s="6" t="s">
        <v>34</v>
      </c>
      <c r="B10" s="7" t="s">
        <v>35</v>
      </c>
      <c r="C10" s="7" t="s">
        <v>36</v>
      </c>
      <c r="D10" s="7">
        <v>500</v>
      </c>
      <c r="E10" s="7">
        <v>50</v>
      </c>
      <c r="F10" s="7" t="s">
        <v>9</v>
      </c>
      <c r="G10" s="7"/>
      <c r="H10" s="7"/>
      <c r="I10" s="7"/>
      <c r="J10" s="7"/>
      <c r="K10" s="7"/>
      <c r="L10" s="7" t="str">
        <f t="shared" si="2"/>
        <v>High price</v>
      </c>
      <c r="M10" s="7"/>
      <c r="N10" s="7"/>
      <c r="O10" s="7" t="str">
        <f t="shared" si="5"/>
        <v>05</v>
      </c>
      <c r="P10" s="7" t="str">
        <f t="shared" si="6"/>
        <v>UK</v>
      </c>
      <c r="Q10" s="8" t="str">
        <f t="shared" si="7"/>
        <v>SEP</v>
      </c>
    </row>
    <row r="11" spans="1:17" x14ac:dyDescent="0.25">
      <c r="A11" s="6" t="s">
        <v>37</v>
      </c>
      <c r="B11" s="7" t="s">
        <v>38</v>
      </c>
      <c r="C11" s="7" t="s">
        <v>39</v>
      </c>
      <c r="D11" s="7">
        <v>130</v>
      </c>
      <c r="E11" s="7">
        <v>10</v>
      </c>
      <c r="F11" s="7" t="s">
        <v>24</v>
      </c>
      <c r="G11" s="7"/>
      <c r="H11" s="7"/>
      <c r="I11" s="7"/>
      <c r="J11" s="7"/>
      <c r="K11" s="7"/>
      <c r="L11" s="7" t="str">
        <f t="shared" si="2"/>
        <v>Standard price</v>
      </c>
      <c r="M11" s="7"/>
      <c r="N11" s="7"/>
      <c r="O11" s="7" t="str">
        <f t="shared" si="5"/>
        <v>14</v>
      </c>
      <c r="P11" s="7" t="str">
        <f t="shared" si="6"/>
        <v>UK</v>
      </c>
      <c r="Q11" s="8" t="str">
        <f t="shared" si="7"/>
        <v>OCT</v>
      </c>
    </row>
    <row r="12" spans="1:17" x14ac:dyDescent="0.25">
      <c r="A12" s="6" t="s">
        <v>40</v>
      </c>
      <c r="B12" s="7" t="s">
        <v>7</v>
      </c>
      <c r="C12" s="7" t="s">
        <v>41</v>
      </c>
      <c r="D12" s="7">
        <v>950</v>
      </c>
      <c r="E12" s="7">
        <v>25</v>
      </c>
      <c r="F12" s="7" t="s">
        <v>9</v>
      </c>
      <c r="G12" s="7"/>
      <c r="H12" s="7"/>
      <c r="I12" s="7"/>
      <c r="J12" s="7"/>
      <c r="K12" s="7"/>
      <c r="L12" s="7" t="str">
        <f t="shared" si="2"/>
        <v>High price</v>
      </c>
      <c r="M12" s="7"/>
      <c r="N12" s="7"/>
      <c r="O12" s="7" t="str">
        <f t="shared" si="5"/>
        <v>17</v>
      </c>
      <c r="P12" s="7" t="str">
        <f t="shared" si="6"/>
        <v>IN</v>
      </c>
      <c r="Q12" s="8" t="str">
        <f t="shared" si="7"/>
        <v>JUN</v>
      </c>
    </row>
    <row r="13" spans="1:17" x14ac:dyDescent="0.25">
      <c r="A13" s="6" t="s">
        <v>42</v>
      </c>
      <c r="B13" s="7" t="s">
        <v>11</v>
      </c>
      <c r="C13" s="7" t="s">
        <v>30</v>
      </c>
      <c r="D13" s="7">
        <v>90</v>
      </c>
      <c r="E13" s="7">
        <v>40</v>
      </c>
      <c r="F13" s="7" t="s">
        <v>13</v>
      </c>
      <c r="G13" s="7"/>
      <c r="H13" s="7"/>
      <c r="I13" s="7"/>
      <c r="J13" s="7"/>
      <c r="K13" s="7"/>
      <c r="L13" s="7" t="str">
        <f t="shared" si="2"/>
        <v>Standard price</v>
      </c>
      <c r="M13" s="7"/>
      <c r="N13" s="7"/>
      <c r="O13" s="7" t="str">
        <f t="shared" si="5"/>
        <v>25</v>
      </c>
      <c r="P13" s="7" t="str">
        <f t="shared" si="6"/>
        <v>AU</v>
      </c>
      <c r="Q13" s="8" t="str">
        <f t="shared" si="7"/>
        <v>NOV</v>
      </c>
    </row>
    <row r="14" spans="1:17" x14ac:dyDescent="0.25">
      <c r="A14" s="6" t="s">
        <v>43</v>
      </c>
      <c r="B14" s="7" t="s">
        <v>15</v>
      </c>
      <c r="C14" s="7" t="s">
        <v>44</v>
      </c>
      <c r="D14" s="7">
        <v>120</v>
      </c>
      <c r="E14" s="7">
        <v>35</v>
      </c>
      <c r="F14" s="7" t="s">
        <v>17</v>
      </c>
      <c r="G14" s="7"/>
      <c r="H14" s="7"/>
      <c r="I14" s="7"/>
      <c r="J14" s="7"/>
      <c r="K14" s="7"/>
      <c r="L14" s="7" t="str">
        <f t="shared" si="2"/>
        <v>Standard price</v>
      </c>
      <c r="M14" s="7"/>
      <c r="N14" s="7"/>
      <c r="O14" s="7" t="str">
        <f t="shared" si="5"/>
        <v>08</v>
      </c>
      <c r="P14" s="7" t="str">
        <f t="shared" si="6"/>
        <v>DE</v>
      </c>
      <c r="Q14" s="8" t="str">
        <f t="shared" si="7"/>
        <v>DEC</v>
      </c>
    </row>
    <row r="15" spans="1:17" x14ac:dyDescent="0.25">
      <c r="A15" s="6" t="s">
        <v>45</v>
      </c>
      <c r="B15" s="7" t="s">
        <v>46</v>
      </c>
      <c r="C15" s="7" t="s">
        <v>47</v>
      </c>
      <c r="D15" s="7">
        <v>150</v>
      </c>
      <c r="E15" s="7">
        <v>15</v>
      </c>
      <c r="F15" s="7" t="s">
        <v>9</v>
      </c>
      <c r="G15" s="7"/>
      <c r="H15" s="7"/>
      <c r="I15" s="7"/>
      <c r="J15" s="7"/>
      <c r="K15" s="7"/>
      <c r="L15" s="7" t="str">
        <f t="shared" si="2"/>
        <v>Standard price</v>
      </c>
      <c r="M15" s="7"/>
      <c r="N15" s="7"/>
      <c r="O15" s="7" t="str">
        <f t="shared" si="5"/>
        <v>18</v>
      </c>
      <c r="P15" s="7" t="str">
        <f t="shared" si="6"/>
        <v>CA</v>
      </c>
      <c r="Q15" s="8" t="str">
        <f t="shared" si="7"/>
        <v>FEB</v>
      </c>
    </row>
    <row r="16" spans="1:17" x14ac:dyDescent="0.25">
      <c r="A16" s="6" t="s">
        <v>48</v>
      </c>
      <c r="B16" s="7" t="s">
        <v>26</v>
      </c>
      <c r="C16" s="7" t="s">
        <v>49</v>
      </c>
      <c r="D16" s="7">
        <v>250</v>
      </c>
      <c r="E16" s="7">
        <v>20</v>
      </c>
      <c r="F16" s="7" t="s">
        <v>9</v>
      </c>
      <c r="G16" s="7"/>
      <c r="H16" s="7"/>
      <c r="I16" s="7"/>
      <c r="J16" s="7"/>
      <c r="K16" s="7"/>
      <c r="L16" s="7" t="str">
        <f t="shared" si="2"/>
        <v>Standard price</v>
      </c>
      <c r="M16" s="7"/>
      <c r="N16" s="7"/>
      <c r="O16" s="7" t="str">
        <f t="shared" si="5"/>
        <v>16</v>
      </c>
      <c r="P16" s="7" t="str">
        <f t="shared" si="6"/>
        <v>ES</v>
      </c>
      <c r="Q16" s="8" t="str">
        <f t="shared" si="7"/>
        <v>APR</v>
      </c>
    </row>
    <row r="17" spans="1:17" x14ac:dyDescent="0.25">
      <c r="A17" s="6" t="s">
        <v>50</v>
      </c>
      <c r="B17" s="7" t="s">
        <v>51</v>
      </c>
      <c r="C17" s="7" t="s">
        <v>52</v>
      </c>
      <c r="D17" s="7">
        <v>50</v>
      </c>
      <c r="E17" s="7">
        <v>35</v>
      </c>
      <c r="F17" s="7" t="s">
        <v>53</v>
      </c>
      <c r="G17" s="7"/>
      <c r="H17" s="7"/>
      <c r="I17" s="7"/>
      <c r="J17" s="7"/>
      <c r="K17" s="7"/>
      <c r="L17" s="7" t="str">
        <f t="shared" si="2"/>
        <v>Standard price</v>
      </c>
      <c r="M17" s="7"/>
      <c r="N17" s="7"/>
      <c r="O17" s="7" t="str">
        <f t="shared" si="5"/>
        <v>21</v>
      </c>
      <c r="P17" s="7" t="str">
        <f t="shared" si="6"/>
        <v>CA</v>
      </c>
      <c r="Q17" s="8" t="str">
        <f t="shared" si="7"/>
        <v>AUG</v>
      </c>
    </row>
    <row r="18" spans="1:17" x14ac:dyDescent="0.25">
      <c r="A18" s="6" t="s">
        <v>54</v>
      </c>
      <c r="B18" s="7" t="s">
        <v>46</v>
      </c>
      <c r="C18" s="7" t="s">
        <v>55</v>
      </c>
      <c r="D18" s="7">
        <v>160</v>
      </c>
      <c r="E18" s="7">
        <v>15</v>
      </c>
      <c r="F18" s="7" t="s">
        <v>9</v>
      </c>
      <c r="G18" s="7"/>
      <c r="H18" s="7"/>
      <c r="I18" s="7"/>
      <c r="J18" s="7"/>
      <c r="K18" s="7"/>
      <c r="L18" s="7" t="str">
        <f t="shared" si="2"/>
        <v>Standard price</v>
      </c>
      <c r="M18" s="7"/>
      <c r="N18" s="7"/>
      <c r="O18" s="7" t="str">
        <f t="shared" si="5"/>
        <v>20</v>
      </c>
      <c r="P18" s="7" t="str">
        <f t="shared" si="6"/>
        <v>CN</v>
      </c>
      <c r="Q18" s="8" t="str">
        <f t="shared" si="7"/>
        <v>AUG</v>
      </c>
    </row>
    <row r="19" spans="1:17" x14ac:dyDescent="0.25">
      <c r="A19" s="6" t="s">
        <v>56</v>
      </c>
      <c r="B19" s="7" t="s">
        <v>7</v>
      </c>
      <c r="C19" s="7" t="s">
        <v>57</v>
      </c>
      <c r="D19" s="7">
        <v>980</v>
      </c>
      <c r="E19" s="7">
        <v>10</v>
      </c>
      <c r="F19" s="7" t="s">
        <v>9</v>
      </c>
      <c r="G19" s="7"/>
      <c r="H19" s="7"/>
      <c r="I19" s="7"/>
      <c r="J19" s="7"/>
      <c r="K19" s="7"/>
      <c r="L19" s="7" t="str">
        <f t="shared" si="2"/>
        <v>High price</v>
      </c>
      <c r="M19" s="7"/>
      <c r="N19" s="7"/>
      <c r="O19" s="7" t="str">
        <f t="shared" si="5"/>
        <v>27</v>
      </c>
      <c r="P19" s="7" t="str">
        <f t="shared" si="6"/>
        <v>IT</v>
      </c>
      <c r="Q19" s="8" t="str">
        <f t="shared" si="7"/>
        <v>JAN</v>
      </c>
    </row>
    <row r="20" spans="1:17" x14ac:dyDescent="0.25">
      <c r="A20" s="6" t="s">
        <v>58</v>
      </c>
      <c r="B20" s="7" t="s">
        <v>59</v>
      </c>
      <c r="C20" s="7" t="s">
        <v>60</v>
      </c>
      <c r="D20" s="7">
        <v>150</v>
      </c>
      <c r="E20" s="7">
        <v>15</v>
      </c>
      <c r="F20" s="7" t="s">
        <v>13</v>
      </c>
      <c r="G20" s="7"/>
      <c r="H20" s="7"/>
      <c r="I20" s="7"/>
      <c r="J20" s="7"/>
      <c r="K20" s="7"/>
      <c r="L20" s="7" t="str">
        <f t="shared" si="2"/>
        <v>Standard price</v>
      </c>
      <c r="M20" s="7"/>
      <c r="N20" s="7"/>
      <c r="O20" s="7" t="str">
        <f t="shared" si="5"/>
        <v>01</v>
      </c>
      <c r="P20" s="7" t="str">
        <f t="shared" si="6"/>
        <v>UK</v>
      </c>
      <c r="Q20" s="8" t="str">
        <f t="shared" si="7"/>
        <v>MAR</v>
      </c>
    </row>
    <row r="21" spans="1:17" x14ac:dyDescent="0.25">
      <c r="A21" s="6" t="s">
        <v>61</v>
      </c>
      <c r="B21" s="7" t="s">
        <v>62</v>
      </c>
      <c r="C21" s="7" t="s">
        <v>63</v>
      </c>
      <c r="D21" s="7">
        <v>200</v>
      </c>
      <c r="E21" s="7">
        <v>10</v>
      </c>
      <c r="F21" s="7" t="s">
        <v>24</v>
      </c>
      <c r="G21" s="7"/>
      <c r="H21" s="7"/>
      <c r="I21" s="7"/>
      <c r="J21" s="7"/>
      <c r="K21" s="7"/>
      <c r="L21" s="7" t="str">
        <f t="shared" si="2"/>
        <v>Standard price</v>
      </c>
      <c r="M21" s="7"/>
      <c r="N21" s="7"/>
      <c r="O21" s="7" t="str">
        <f t="shared" si="5"/>
        <v>14</v>
      </c>
      <c r="P21" s="7" t="str">
        <f t="shared" si="6"/>
        <v>US</v>
      </c>
      <c r="Q21" s="8" t="str">
        <f t="shared" si="7"/>
        <v>AUG</v>
      </c>
    </row>
    <row r="22" spans="1:17" x14ac:dyDescent="0.25">
      <c r="A22" s="6" t="s">
        <v>64</v>
      </c>
      <c r="B22" s="7" t="s">
        <v>65</v>
      </c>
      <c r="C22" s="7" t="s">
        <v>66</v>
      </c>
      <c r="D22" s="7">
        <v>700</v>
      </c>
      <c r="E22" s="7">
        <v>50</v>
      </c>
      <c r="F22" s="7" t="s">
        <v>9</v>
      </c>
      <c r="G22" s="7"/>
      <c r="H22" s="7"/>
      <c r="I22" s="7"/>
      <c r="J22" s="7"/>
      <c r="K22" s="7"/>
      <c r="L22" s="7" t="str">
        <f t="shared" si="2"/>
        <v>High price</v>
      </c>
      <c r="M22" s="7"/>
      <c r="N22" s="7"/>
      <c r="O22" s="7" t="str">
        <f t="shared" si="5"/>
        <v>14</v>
      </c>
      <c r="P22" s="7" t="str">
        <f t="shared" si="6"/>
        <v>RU</v>
      </c>
      <c r="Q22" s="8" t="str">
        <f t="shared" si="7"/>
        <v>MAY</v>
      </c>
    </row>
    <row r="23" spans="1:17" x14ac:dyDescent="0.25">
      <c r="A23" s="6" t="s">
        <v>67</v>
      </c>
      <c r="B23" s="7" t="s">
        <v>68</v>
      </c>
      <c r="C23" s="7" t="s">
        <v>69</v>
      </c>
      <c r="D23" s="7">
        <v>80</v>
      </c>
      <c r="E23" s="7">
        <v>20</v>
      </c>
      <c r="F23" s="7" t="s">
        <v>17</v>
      </c>
      <c r="G23" s="7"/>
      <c r="H23" s="7"/>
      <c r="I23" s="7"/>
      <c r="J23" s="7"/>
      <c r="K23" s="7"/>
      <c r="L23" s="7" t="str">
        <f t="shared" si="2"/>
        <v>Standard price</v>
      </c>
      <c r="M23" s="7"/>
      <c r="N23" s="7"/>
      <c r="O23" s="7" t="str">
        <f t="shared" si="5"/>
        <v>09</v>
      </c>
      <c r="P23" s="7" t="str">
        <f t="shared" si="6"/>
        <v>CA</v>
      </c>
      <c r="Q23" s="8" t="str">
        <f t="shared" si="7"/>
        <v>JAN</v>
      </c>
    </row>
    <row r="24" spans="1:17" x14ac:dyDescent="0.25">
      <c r="A24" s="6" t="s">
        <v>70</v>
      </c>
      <c r="B24" s="7" t="s">
        <v>71</v>
      </c>
      <c r="C24" s="7" t="s">
        <v>72</v>
      </c>
      <c r="D24" s="7">
        <v>150</v>
      </c>
      <c r="E24" s="7">
        <v>30</v>
      </c>
      <c r="F24" s="7" t="s">
        <v>9</v>
      </c>
      <c r="G24" s="7"/>
      <c r="H24" s="7"/>
      <c r="I24" s="7"/>
      <c r="J24" s="7"/>
      <c r="K24" s="7"/>
      <c r="L24" s="7" t="str">
        <f t="shared" si="2"/>
        <v>Standard price</v>
      </c>
      <c r="M24" s="7"/>
      <c r="N24" s="7"/>
      <c r="O24" s="7" t="str">
        <f t="shared" si="5"/>
        <v>19</v>
      </c>
      <c r="P24" s="7" t="str">
        <f t="shared" si="6"/>
        <v>BR</v>
      </c>
      <c r="Q24" s="8" t="str">
        <f t="shared" si="7"/>
        <v>JUL</v>
      </c>
    </row>
    <row r="25" spans="1:17" x14ac:dyDescent="0.25">
      <c r="A25" s="6" t="s">
        <v>50</v>
      </c>
      <c r="B25" s="7" t="s">
        <v>51</v>
      </c>
      <c r="C25" s="7" t="s">
        <v>52</v>
      </c>
      <c r="D25" s="7">
        <v>50</v>
      </c>
      <c r="E25" s="7">
        <v>35</v>
      </c>
      <c r="F25" s="7" t="s">
        <v>53</v>
      </c>
      <c r="G25" s="7"/>
      <c r="H25" s="7"/>
      <c r="I25" s="7"/>
      <c r="J25" s="7"/>
      <c r="K25" s="7"/>
      <c r="L25" s="7" t="str">
        <f t="shared" si="2"/>
        <v>Standard price</v>
      </c>
      <c r="M25" s="7"/>
      <c r="N25" s="7"/>
      <c r="O25" s="7" t="str">
        <f t="shared" si="5"/>
        <v>21</v>
      </c>
      <c r="P25" s="7" t="str">
        <f t="shared" si="6"/>
        <v>CA</v>
      </c>
      <c r="Q25" s="8" t="str">
        <f t="shared" si="7"/>
        <v>AUG</v>
      </c>
    </row>
    <row r="26" spans="1:17" x14ac:dyDescent="0.25">
      <c r="A26" s="6" t="s">
        <v>73</v>
      </c>
      <c r="B26" s="7" t="s">
        <v>19</v>
      </c>
      <c r="C26" s="7" t="s">
        <v>74</v>
      </c>
      <c r="D26" s="7">
        <v>800</v>
      </c>
      <c r="E26" s="7">
        <v>45</v>
      </c>
      <c r="F26" s="7" t="s">
        <v>9</v>
      </c>
      <c r="G26" s="7"/>
      <c r="H26" s="7"/>
      <c r="I26" s="7"/>
      <c r="J26" s="7"/>
      <c r="K26" s="7"/>
      <c r="L26" s="7" t="str">
        <f t="shared" si="2"/>
        <v>High price</v>
      </c>
      <c r="M26" s="7"/>
      <c r="N26" s="7"/>
      <c r="O26" s="7" t="str">
        <f t="shared" si="5"/>
        <v>29</v>
      </c>
      <c r="P26" s="7" t="str">
        <f t="shared" si="6"/>
        <v>CA</v>
      </c>
      <c r="Q26" s="8" t="str">
        <f t="shared" si="7"/>
        <v>SEP</v>
      </c>
    </row>
    <row r="27" spans="1:17" x14ac:dyDescent="0.25">
      <c r="A27" s="6" t="s">
        <v>75</v>
      </c>
      <c r="B27" s="7" t="s">
        <v>59</v>
      </c>
      <c r="C27" s="7" t="s">
        <v>76</v>
      </c>
      <c r="D27" s="7">
        <v>130</v>
      </c>
      <c r="E27" s="7">
        <v>25</v>
      </c>
      <c r="F27" s="7" t="s">
        <v>13</v>
      </c>
      <c r="G27" s="7"/>
      <c r="H27" s="7"/>
      <c r="I27" s="7"/>
      <c r="J27" s="7"/>
      <c r="K27" s="7"/>
      <c r="L27" s="7" t="str">
        <f t="shared" si="2"/>
        <v>Standard price</v>
      </c>
      <c r="M27" s="7"/>
      <c r="N27" s="7"/>
      <c r="O27" s="7" t="str">
        <f t="shared" si="5"/>
        <v>03</v>
      </c>
      <c r="P27" s="7" t="str">
        <f t="shared" si="6"/>
        <v>CA</v>
      </c>
      <c r="Q27" s="8" t="str">
        <f t="shared" si="7"/>
        <v>JUN</v>
      </c>
    </row>
    <row r="28" spans="1:17" x14ac:dyDescent="0.25">
      <c r="A28" s="6" t="s">
        <v>77</v>
      </c>
      <c r="B28" s="7" t="s">
        <v>32</v>
      </c>
      <c r="C28" s="7" t="s">
        <v>78</v>
      </c>
      <c r="D28" s="7">
        <v>400</v>
      </c>
      <c r="E28" s="7">
        <v>40</v>
      </c>
      <c r="F28" s="7" t="s">
        <v>17</v>
      </c>
      <c r="G28" s="7"/>
      <c r="H28" s="7"/>
      <c r="I28" s="7"/>
      <c r="J28" s="7"/>
      <c r="K28" s="7"/>
      <c r="L28" s="7" t="str">
        <f t="shared" si="2"/>
        <v>Standard price</v>
      </c>
      <c r="M28" s="7"/>
      <c r="N28" s="7"/>
      <c r="O28" s="7" t="str">
        <f t="shared" si="5"/>
        <v>11</v>
      </c>
      <c r="P28" s="7" t="str">
        <f t="shared" si="6"/>
        <v>CA</v>
      </c>
      <c r="Q28" s="8" t="str">
        <f t="shared" si="7"/>
        <v>JUL</v>
      </c>
    </row>
    <row r="29" spans="1:17" x14ac:dyDescent="0.25">
      <c r="A29" s="6" t="s">
        <v>48</v>
      </c>
      <c r="B29" s="7" t="s">
        <v>26</v>
      </c>
      <c r="C29" s="7" t="s">
        <v>49</v>
      </c>
      <c r="D29" s="7">
        <v>230</v>
      </c>
      <c r="E29" s="7">
        <v>20</v>
      </c>
      <c r="F29" s="7" t="s">
        <v>9</v>
      </c>
      <c r="G29" s="7"/>
      <c r="H29" s="7"/>
      <c r="I29" s="7"/>
      <c r="J29" s="7"/>
      <c r="K29" s="7"/>
      <c r="L29" s="7" t="str">
        <f t="shared" si="2"/>
        <v>Standard price</v>
      </c>
      <c r="M29" s="7"/>
      <c r="N29" s="7"/>
      <c r="O29" s="7" t="str">
        <f t="shared" si="5"/>
        <v>16</v>
      </c>
      <c r="P29" s="7" t="str">
        <f t="shared" si="6"/>
        <v>ES</v>
      </c>
      <c r="Q29" s="8" t="str">
        <f t="shared" si="7"/>
        <v>APR</v>
      </c>
    </row>
    <row r="30" spans="1:17" x14ac:dyDescent="0.25">
      <c r="A30" s="6" t="s">
        <v>79</v>
      </c>
      <c r="B30" s="7" t="s">
        <v>80</v>
      </c>
      <c r="C30" s="7" t="s">
        <v>81</v>
      </c>
      <c r="D30" s="7">
        <v>60</v>
      </c>
      <c r="E30" s="7">
        <v>30</v>
      </c>
      <c r="F30" s="7" t="s">
        <v>13</v>
      </c>
      <c r="G30" s="7"/>
      <c r="H30" s="7"/>
      <c r="I30" s="7"/>
      <c r="J30" s="7"/>
      <c r="K30" s="7"/>
      <c r="L30" s="7" t="str">
        <f t="shared" si="2"/>
        <v>Standard price</v>
      </c>
      <c r="M30" s="7"/>
      <c r="N30" s="7"/>
      <c r="O30" s="7" t="str">
        <f t="shared" si="5"/>
        <v>07</v>
      </c>
      <c r="P30" s="7" t="str">
        <f t="shared" si="6"/>
        <v>CA</v>
      </c>
      <c r="Q30" s="8" t="str">
        <f t="shared" si="7"/>
        <v>MAR</v>
      </c>
    </row>
    <row r="31" spans="1:17" x14ac:dyDescent="0.25">
      <c r="A31" s="6" t="s">
        <v>82</v>
      </c>
      <c r="B31" s="7" t="s">
        <v>83</v>
      </c>
      <c r="C31" s="7" t="s">
        <v>84</v>
      </c>
      <c r="D31" s="7">
        <v>40</v>
      </c>
      <c r="E31" s="7">
        <v>10</v>
      </c>
      <c r="F31" s="7" t="s">
        <v>17</v>
      </c>
      <c r="G31" s="7"/>
      <c r="H31" s="7"/>
      <c r="I31" s="7"/>
      <c r="J31" s="7"/>
      <c r="K31" s="7"/>
      <c r="L31" s="7" t="str">
        <f t="shared" si="2"/>
        <v>Standard price</v>
      </c>
      <c r="M31" s="7"/>
      <c r="N31" s="7"/>
      <c r="O31" s="7" t="str">
        <f t="shared" si="5"/>
        <v>13</v>
      </c>
      <c r="P31" s="7" t="str">
        <f t="shared" si="6"/>
        <v>CA</v>
      </c>
      <c r="Q31" s="8" t="str">
        <f t="shared" si="7"/>
        <v>APR</v>
      </c>
    </row>
    <row r="32" spans="1:17" x14ac:dyDescent="0.25">
      <c r="A32" s="6" t="s">
        <v>85</v>
      </c>
      <c r="B32" s="7" t="s">
        <v>71</v>
      </c>
      <c r="C32" s="7" t="s">
        <v>86</v>
      </c>
      <c r="D32" s="7">
        <v>130</v>
      </c>
      <c r="E32" s="7">
        <v>5</v>
      </c>
      <c r="F32" s="7" t="s">
        <v>9</v>
      </c>
      <c r="G32" s="7"/>
      <c r="H32" s="7"/>
      <c r="I32" s="7"/>
      <c r="J32" s="7"/>
      <c r="K32" s="7"/>
      <c r="L32" s="7" t="str">
        <f t="shared" si="2"/>
        <v>Standard price</v>
      </c>
      <c r="M32" s="7"/>
      <c r="N32" s="7"/>
      <c r="O32" s="7" t="str">
        <f t="shared" si="5"/>
        <v>24</v>
      </c>
      <c r="P32" s="7" t="str">
        <f t="shared" si="6"/>
        <v>CA</v>
      </c>
      <c r="Q32" s="8" t="str">
        <f t="shared" si="7"/>
        <v>MAY</v>
      </c>
    </row>
    <row r="33" spans="1:17" x14ac:dyDescent="0.25">
      <c r="A33" s="6" t="s">
        <v>87</v>
      </c>
      <c r="B33" s="7" t="s">
        <v>88</v>
      </c>
      <c r="C33" s="7" t="s">
        <v>89</v>
      </c>
      <c r="D33" s="7">
        <v>50</v>
      </c>
      <c r="E33" s="7">
        <v>50</v>
      </c>
      <c r="F33" s="7" t="s">
        <v>13</v>
      </c>
      <c r="G33" s="7"/>
      <c r="H33" s="7"/>
      <c r="I33" s="7"/>
      <c r="J33" s="7"/>
      <c r="K33" s="7"/>
      <c r="L33" s="7" t="str">
        <f t="shared" si="2"/>
        <v>Standard price</v>
      </c>
      <c r="M33" s="7"/>
      <c r="N33" s="7"/>
      <c r="O33" s="7" t="str">
        <f t="shared" si="5"/>
        <v>02</v>
      </c>
      <c r="P33" s="7" t="str">
        <f t="shared" si="6"/>
        <v>CA</v>
      </c>
      <c r="Q33" s="8" t="str">
        <f t="shared" si="7"/>
        <v>DEC</v>
      </c>
    </row>
    <row r="34" spans="1:17" x14ac:dyDescent="0.25">
      <c r="A34" s="6" t="s">
        <v>40</v>
      </c>
      <c r="B34" s="7" t="s">
        <v>7</v>
      </c>
      <c r="C34" s="7" t="s">
        <v>41</v>
      </c>
      <c r="D34" s="7">
        <v>950</v>
      </c>
      <c r="E34" s="7">
        <v>25</v>
      </c>
      <c r="F34" s="7" t="s">
        <v>9</v>
      </c>
      <c r="G34" s="7"/>
      <c r="H34" s="7"/>
      <c r="I34" s="7"/>
      <c r="J34" s="7"/>
      <c r="K34" s="7"/>
      <c r="L34" s="7" t="str">
        <f t="shared" si="2"/>
        <v>High price</v>
      </c>
      <c r="M34" s="7"/>
      <c r="N34" s="7"/>
      <c r="O34" s="7" t="str">
        <f t="shared" si="5"/>
        <v>17</v>
      </c>
      <c r="P34" s="7" t="str">
        <f t="shared" si="6"/>
        <v>IN</v>
      </c>
      <c r="Q34" s="8" t="str">
        <f t="shared" si="7"/>
        <v>JUN</v>
      </c>
    </row>
    <row r="35" spans="1:17" x14ac:dyDescent="0.25">
      <c r="A35" s="6" t="s">
        <v>90</v>
      </c>
      <c r="B35" s="7" t="s">
        <v>91</v>
      </c>
      <c r="C35" s="7" t="s">
        <v>92</v>
      </c>
      <c r="D35" s="7">
        <v>100</v>
      </c>
      <c r="E35" s="7">
        <v>20</v>
      </c>
      <c r="F35" s="7" t="s">
        <v>53</v>
      </c>
      <c r="G35" s="7"/>
      <c r="H35" s="7"/>
      <c r="I35" s="7"/>
      <c r="J35" s="7"/>
      <c r="K35" s="7"/>
      <c r="L35" s="7" t="str">
        <f t="shared" si="2"/>
        <v>Standard price</v>
      </c>
      <c r="M35" s="7"/>
      <c r="N35" s="7"/>
      <c r="O35" s="7" t="str">
        <f t="shared" si="5"/>
        <v>09</v>
      </c>
      <c r="P35" s="7" t="str">
        <f t="shared" si="6"/>
        <v>FR</v>
      </c>
      <c r="Q35" s="8" t="str">
        <f t="shared" si="7"/>
        <v>JUL</v>
      </c>
    </row>
    <row r="36" spans="1:17" x14ac:dyDescent="0.25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 t="str">
        <f t="shared" si="5"/>
        <v/>
      </c>
      <c r="P36" s="10" t="str">
        <f t="shared" si="6"/>
        <v/>
      </c>
      <c r="Q36" s="11" t="str">
        <f t="shared" si="7"/>
        <v/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</dc:creator>
  <cp:lastModifiedBy>DEEPA M</cp:lastModifiedBy>
  <dcterms:created xsi:type="dcterms:W3CDTF">2015-06-05T18:17:20Z</dcterms:created>
  <dcterms:modified xsi:type="dcterms:W3CDTF">2025-11-08T05:28:48Z</dcterms:modified>
</cp:coreProperties>
</file>